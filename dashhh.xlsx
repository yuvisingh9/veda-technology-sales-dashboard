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Retail Sales Dataset - Retail S" sheetId="2" r:id="rId6"/>
    <sheet name="dashboard - Retail Sales Dashbo"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<sst xmlns="http://schemas.openxmlformats.org/spreadsheetml/2006/main" uniqueCount="38">
  <si>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</si>
  <si>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</si>
  <si>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</si>
  <si>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</si>
  <si>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Retail Sales Dataset</t>
  </si>
  <si>
    <t>Retail Sales Dataset - Retail S</t>
  </si>
  <si>
    <t>Month</t>
  </si>
  <si>
    <t>Region</t>
  </si>
  <si>
    <t>Product</t>
  </si>
  <si>
    <t>Units Sold</t>
  </si>
  <si>
    <t>Unit Price</t>
  </si>
  <si>
    <t>Sales</t>
  </si>
  <si>
    <t>Profit</t>
  </si>
  <si>
    <t>Profit Margin</t>
  </si>
  <si>
    <t>North</t>
  </si>
  <si>
    <t>Laptop</t>
  </si>
  <si>
    <t>South</t>
  </si>
  <si>
    <t>Phone</t>
  </si>
  <si>
    <t>East</t>
  </si>
  <si>
    <t>Tablet</t>
  </si>
  <si>
    <t>West</t>
  </si>
  <si>
    <t>Monitor</t>
  </si>
  <si>
    <t>dashboard</t>
  </si>
  <si>
    <t>Retail Sales Dashboard</t>
  </si>
  <si>
    <t>dashboard - Retail Sales Dashbo</t>
  </si>
  <si>
    <r>
      <rPr>
        <b val="1"/>
        <sz val="16"/>
        <color indexed="8"/>
        <rFont val="Times Roman"/>
      </rPr>
      <t>VEDA TECHNOLOGY</t>
    </r>
    <r>
      <rPr>
        <b val="1"/>
        <sz val="16"/>
        <color indexed="8"/>
        <rFont val="Helvetica Neue"/>
      </rPr>
      <t xml:space="preserve">
</t>
    </r>
    <r>
      <rPr>
        <sz val="10"/>
        <color indexed="8"/>
        <rFont val="Helvetica Neue"/>
      </rPr>
      <t>SALES PERFORMANCE DASHBOARD</t>
    </r>
  </si>
  <si>
    <t>All Regions</t>
  </si>
  <si>
    <t>TOTAL SALES</t>
  </si>
  <si>
    <t>TOTAL PROFIT</t>
  </si>
  <si>
    <t>UNIT SOLD</t>
  </si>
  <si>
    <t>PROFIT MARGIN</t>
  </si>
  <si>
    <t>MONTHLY SALES SUMMARY</t>
  </si>
  <si>
    <t>REGIONAL SALES SUMMARY</t>
  </si>
  <si>
    <t>Growth %</t>
  </si>
  <si>
    <t>Regions</t>
  </si>
  <si>
    <t>PRODUCT SALES SUMMARY</t>
  </si>
  <si>
    <t>Unit Sold</t>
  </si>
  <si>
    <t>Total Sales</t>
  </si>
</sst>
</file>

<file path=xl/styles.xml><?xml version="1.0" encoding="utf-8"?>
<styleSheet xmlns="http://schemas.openxmlformats.org/spreadsheetml/2006/main">
  <numFmts count="4">
    <numFmt numFmtId="0" formatCode="General"/>
    <numFmt numFmtId="59" formatCode="mmmm"/>
    <numFmt numFmtId="60" formatCode="0.0"/>
    <numFmt numFmtId="61" formatCode="[$₹-4009]0.0"/>
  </numFmts>
  <fonts count="14">
    <font>
      <sz val="10"/>
      <color indexed="8"/>
      <name val="Helvetica Neue"/>
    </font>
    <font>
      <sz val="12"/>
      <color indexed="8"/>
      <name val="Helvetica Neue"/>
    </font>
    <font>
      <sz val="14"/>
      <color indexed="8"/>
      <name val="Helvetica Neue"/>
    </font>
    <font>
      <u val="single"/>
      <sz val="12"/>
      <color indexed="11"/>
      <name val="Helvetica Neue"/>
    </font>
    <font>
      <sz val="18"/>
      <color indexed="8"/>
      <name val="Helvetica Neue"/>
    </font>
    <font>
      <sz val="12"/>
      <color indexed="8"/>
      <name val="Times Roman"/>
    </font>
    <font>
      <b val="1"/>
      <sz val="16"/>
      <color indexed="8"/>
      <name val="Times Roman"/>
    </font>
    <font>
      <b val="1"/>
      <sz val="16"/>
      <color indexed="8"/>
      <name val="Helvetica Neue"/>
    </font>
    <font>
      <b val="1"/>
      <sz val="18"/>
      <color indexed="8"/>
      <name val="Helvetica Neue"/>
    </font>
    <font>
      <b val="1"/>
      <sz val="17"/>
      <color indexed="8"/>
      <name val="Helvetica Neue"/>
    </font>
    <font>
      <b val="1"/>
      <sz val="14"/>
      <color indexed="8"/>
      <name val="Helvetica Neue"/>
    </font>
    <font>
      <b val="1"/>
      <sz val="10"/>
      <color indexed="8"/>
      <name val="Helvetica Neue"/>
    </font>
    <font>
      <b val="1"/>
      <sz val="12"/>
      <color indexed="8"/>
      <name val="Times Roman"/>
    </font>
    <font>
      <sz val="12"/>
      <color indexed="19"/>
      <name val="Helvetica Neue"/>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gradientFill type="linear" degree="140.555">
        <stop position="0">
          <color rgb="ff56c1ff"/>
        </stop>
        <stop position="0.562052">
          <color rgb="ff0075b9"/>
        </stop>
        <stop position="1">
          <color rgb="ff0075b9"/>
        </stop>
      </gradientFill>
    </fill>
    <fill>
      <gradientFill type="linear" degree="90">
        <stop position="0">
          <color rgb="ff56c1ff"/>
        </stop>
        <stop position="1">
          <color rgb="ff0075b9"/>
        </stop>
      </gradientFill>
    </fill>
    <fill>
      <patternFill patternType="solid">
        <fgColor indexed="15"/>
        <bgColor auto="1"/>
      </patternFill>
    </fill>
    <fill>
      <gradientFill type="linear" degree="231.892">
        <stop position="0">
          <color rgb="ff56c1ff"/>
        </stop>
        <stop position="1">
          <color rgb="ff0075b9"/>
        </stop>
      </gradientFill>
    </fill>
  </fills>
  <borders count="3">
    <border>
      <left/>
      <right/>
      <top/>
      <bottom/>
      <diagonal/>
    </border>
    <border>
      <left style="thin">
        <color indexed="12"/>
      </left>
      <right style="thin">
        <color indexed="12"/>
      </right>
      <top style="thin">
        <color indexed="12"/>
      </top>
      <bottom style="thin">
        <color indexed="12"/>
      </bottom>
      <diagonal/>
    </border>
    <border>
      <left style="thin">
        <color indexed="14"/>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top" wrapText="1"/>
    </xf>
  </cellStyleXfs>
  <cellXfs count="39">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0" borderId="1" applyNumberFormat="1" applyFont="1" applyFill="0" applyBorder="1" applyAlignment="1" applyProtection="0">
      <alignment vertical="top" wrapText="1"/>
    </xf>
    <xf numFmtId="59" fontId="0" fillId="4" borderId="1" applyNumberFormat="1" applyFont="1" applyFill="1" applyBorder="1" applyAlignment="1" applyProtection="0">
      <alignment vertical="top" wrapText="1"/>
    </xf>
    <xf numFmtId="49" fontId="0" fillId="4" borderId="1" applyNumberFormat="1" applyFont="1" applyFill="1" applyBorder="1" applyAlignment="1" applyProtection="0">
      <alignment vertical="top" wrapText="1"/>
    </xf>
    <xf numFmtId="0" fontId="0" fillId="4" borderId="1" applyNumberFormat="1" applyFont="1" applyFill="1" applyBorder="1" applyAlignment="1" applyProtection="0">
      <alignment vertical="top" wrapText="1"/>
    </xf>
    <xf numFmtId="60" fontId="0" fillId="4" borderId="1" applyNumberFormat="1" applyFont="1" applyFill="1" applyBorder="1" applyAlignment="1" applyProtection="0">
      <alignment vertical="top" wrapText="1"/>
    </xf>
    <xf numFmtId="59" fontId="0" borderId="1" applyNumberFormat="1" applyFont="1" applyFill="0" applyBorder="1" applyAlignment="1" applyProtection="0">
      <alignment vertical="top" wrapText="1"/>
    </xf>
    <xf numFmtId="0" fontId="0" borderId="1" applyNumberFormat="1" applyFont="1" applyFill="0" applyBorder="1" applyAlignment="1" applyProtection="0">
      <alignment vertical="top" wrapText="1"/>
    </xf>
    <xf numFmtId="60" fontId="0" borderId="1"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applyNumberFormat="0" applyFont="1" applyFill="0" applyBorder="0" applyAlignment="1" applyProtection="0">
      <alignment horizontal="center" vertical="center"/>
    </xf>
    <xf numFmtId="49" fontId="5" fillId="5" borderId="2" applyNumberFormat="1" applyFont="1" applyFill="1" applyBorder="1" applyAlignment="1" applyProtection="0">
      <alignment vertical="top" wrapText="1"/>
    </xf>
    <xf numFmtId="0" fontId="0" borderId="2" applyNumberFormat="0" applyFont="1" applyFill="0" applyBorder="1" applyAlignment="1" applyProtection="0">
      <alignment vertical="top" wrapText="1"/>
    </xf>
    <xf numFmtId="49" fontId="8" fillId="6" borderId="2" applyNumberFormat="1" applyFont="1" applyFill="1" applyBorder="1" applyAlignment="1" applyProtection="0">
      <alignment vertical="top" wrapText="1"/>
    </xf>
    <xf numFmtId="59" fontId="9" borderId="2" applyNumberFormat="1" applyFont="1" applyFill="0" applyBorder="1" applyAlignment="1" applyProtection="0">
      <alignment vertical="top" wrapText="1"/>
    </xf>
    <xf numFmtId="49" fontId="8" borderId="2" applyNumberFormat="1" applyFont="1" applyFill="0" applyBorder="1" applyAlignment="1" applyProtection="0">
      <alignment vertical="top" wrapText="1"/>
    </xf>
    <xf numFmtId="49" fontId="0" borderId="2" applyNumberFormat="1" applyFont="1" applyFill="0" applyBorder="1" applyAlignment="1" applyProtection="0">
      <alignment vertical="top" wrapText="1"/>
    </xf>
    <xf numFmtId="49" fontId="7" fillId="7" borderId="2" applyNumberFormat="1" applyFont="1" applyFill="1" applyBorder="1" applyAlignment="1" applyProtection="0">
      <alignment vertical="top" wrapText="1"/>
    </xf>
    <xf numFmtId="49" fontId="10" fillId="7" borderId="2" applyNumberFormat="1" applyFont="1" applyFill="1" applyBorder="1" applyAlignment="1" applyProtection="0">
      <alignment vertical="top" wrapText="1"/>
    </xf>
    <xf numFmtId="61" fontId="4" fillId="7" borderId="2" applyNumberFormat="1" applyFont="1" applyFill="1" applyBorder="1" applyAlignment="1" applyProtection="0">
      <alignment vertical="top" wrapText="1"/>
    </xf>
    <xf numFmtId="0" fontId="4" fillId="7" borderId="2" applyNumberFormat="1" applyFont="1" applyFill="1" applyBorder="1" applyAlignment="1" applyProtection="0">
      <alignment vertical="top" wrapText="1"/>
    </xf>
    <xf numFmtId="10" fontId="4" fillId="7" borderId="2" applyNumberFormat="1" applyFont="1" applyFill="1" applyBorder="1" applyAlignment="1" applyProtection="0">
      <alignment vertical="top" wrapText="1"/>
    </xf>
    <xf numFmtId="49" fontId="11" fillId="8" borderId="2" applyNumberFormat="1" applyFont="1" applyFill="1" applyBorder="1" applyAlignment="1" applyProtection="0">
      <alignment horizontal="center" vertical="top" wrapText="1"/>
    </xf>
    <xf numFmtId="49" fontId="12" fillId="8" borderId="2" applyNumberFormat="1" applyFont="1" applyFill="1" applyBorder="1" applyAlignment="1" applyProtection="0">
      <alignment horizontal="center" vertical="top" wrapText="1"/>
    </xf>
    <xf numFmtId="49" fontId="11" borderId="2" applyNumberFormat="1" applyFont="1" applyFill="0" applyBorder="1" applyAlignment="1" applyProtection="0">
      <alignment horizontal="center" vertical="top" wrapText="1"/>
    </xf>
    <xf numFmtId="59" fontId="0" borderId="2" applyNumberFormat="1" applyFont="1" applyFill="0" applyBorder="1" applyAlignment="1" applyProtection="0">
      <alignment vertical="top" wrapText="1"/>
    </xf>
    <xf numFmtId="61" fontId="0" borderId="2" applyNumberFormat="1" applyFont="1" applyFill="0" applyBorder="1" applyAlignment="1" applyProtection="0">
      <alignment vertical="top" wrapText="1"/>
    </xf>
    <xf numFmtId="10" fontId="0" borderId="2" applyNumberFormat="1" applyFont="1" applyFill="0" applyBorder="1" applyAlignment="1" applyProtection="0">
      <alignment vertical="top" wrapText="1"/>
    </xf>
    <xf numFmtId="49" fontId="5" fillId="8" borderId="2" applyNumberFormat="1" applyFont="1" applyFill="1" applyBorder="1" applyAlignment="1" applyProtection="0">
      <alignment horizontal="center" vertical="top" wrapText="1"/>
    </xf>
    <xf numFmtId="49" fontId="12" borderId="2" applyNumberFormat="1" applyFont="1" applyFill="0" applyBorder="1" applyAlignment="1" applyProtection="0">
      <alignment horizontal="center" vertical="top" wrapText="1"/>
    </xf>
    <xf numFmtId="49" fontId="5" borderId="2" applyNumberFormat="1" applyFont="1" applyFill="0" applyBorder="1" applyAlignment="1" applyProtection="0">
      <alignment horizontal="center" vertical="top" wrapText="1"/>
    </xf>
    <xf numFmtId="0" fontId="0" borderId="2" applyNumberFormat="1" applyFont="1" applyFill="0" applyBorder="1" applyAlignment="1" applyProtection="0">
      <alignment vertical="top" wrapText="1"/>
    </xf>
  </cellXfs>
  <cellStyles count="1">
    <cellStyle name="Normal" xfId="0" builtinId="0"/>
  </cellStyles>
  <dxfs count="2">
    <dxf>
      <font>
        <color rgb="ff000000"/>
      </font>
      <fill>
        <patternFill patternType="solid">
          <fgColor indexed="16"/>
          <bgColor indexed="17"/>
        </patternFill>
      </fill>
    </dxf>
    <dxf>
      <font>
        <color rgb="ff000000"/>
      </font>
      <fill>
        <patternFill patternType="solid">
          <fgColor indexed="16"/>
          <bgColor indexed="18"/>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c8c8c8"/>
      <rgbColor rgb="fff7f7f6"/>
      <rgbColor rgb="ffa5a5a5"/>
      <rgbColor rgb="ff56c1fe"/>
      <rgbColor rgb="00000000"/>
      <rgbColor rgb="e5afe489"/>
      <rgbColor rgb="e5ff9781"/>
      <rgbColor rgb="fffefffe"/>
      <rgbColor rgb="ffb8b8b8"/>
      <rgbColor rgb="ff71ff3f"/>
      <rgbColor rgb="ff00aea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Helvetica Neue"/>
              </a:defRPr>
            </a:pPr>
            <a:r>
              <a:rPr b="1" i="0" strike="noStrike" sz="1800" u="none">
                <a:solidFill>
                  <a:srgbClr val="000000"/>
                </a:solidFill>
                <a:latin typeface="Helvetica Neue"/>
              </a:rPr>
              <a:t>Month and Sales columns</a:t>
            </a:r>
          </a:p>
        </c:rich>
      </c:tx>
      <c:layout>
        <c:manualLayout>
          <c:xMode val="edge"/>
          <c:yMode val="edge"/>
          <c:x val="0.363795"/>
          <c:y val="0"/>
          <c:w val="0.272411"/>
          <c:h val="0.1028"/>
        </c:manualLayout>
      </c:layout>
      <c:overlay val="1"/>
      <c:spPr>
        <a:noFill/>
        <a:effectLst/>
      </c:spPr>
    </c:title>
    <c:autoTitleDeleted val="1"/>
    <c:plotArea>
      <c:layout>
        <c:manualLayout>
          <c:layoutTarget val="inner"/>
          <c:xMode val="edge"/>
          <c:yMode val="edge"/>
          <c:x val="0.0520397"/>
          <c:y val="0.1028"/>
          <c:w val="0.94296"/>
          <c:h val="0.836468"/>
        </c:manualLayout>
      </c:layout>
      <c:barChart>
        <c:barDir val="col"/>
        <c:grouping val="stacked"/>
        <c:varyColors val="0"/>
        <c:ser>
          <c:idx val="0"/>
          <c:order val="0"/>
          <c:tx>
            <c:strRef>
              <c:f>'dashboard - Retail Sales Dashbo'!$B$12</c:f>
              <c:strCache/>
            </c:strRef>
          </c:tx>
          <c:spPr>
            <a:solidFill>
              <a:schemeClr val="accent1">
                <a:lumOff val="16847"/>
              </a:schemeClr>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1"/>
            <c:showCatName val="0"/>
            <c:showSerName val="0"/>
            <c:showPercent val="0"/>
            <c:showBubbleSize val="0"/>
            <c:showLeaderLines val="0"/>
          </c:dLbls>
          <c:cat>
            <c:strRef>
              <c:f>'dashboard - Retail Sales Dashbo'!$A$13:$A$25</c:f>
              <c:strCache>
                <c:ptCount val="13"/>
                <c:pt idx="0">
                  <c:v>Month</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strCache>
            </c:strRef>
          </c:cat>
          <c:val>
            <c:numRef>
              <c:f>'dashboard - Retail Sales Dashbo'!$B$13:$B$25</c:f>
              <c:numCache>
                <c:ptCount val="12"/>
                <c:pt idx="1">
                  <c:v>42140.000000</c:v>
                </c:pt>
                <c:pt idx="2">
                  <c:v>38650.000000</c:v>
                </c:pt>
                <c:pt idx="3">
                  <c:v>48480.000000</c:v>
                </c:pt>
                <c:pt idx="4">
                  <c:v>44210.000000</c:v>
                </c:pt>
                <c:pt idx="5">
                  <c:v>49920.000000</c:v>
                </c:pt>
                <c:pt idx="6">
                  <c:v>46450.000000</c:v>
                </c:pt>
                <c:pt idx="7">
                  <c:v>54260.000000</c:v>
                </c:pt>
                <c:pt idx="8">
                  <c:v>50780.000000</c:v>
                </c:pt>
                <c:pt idx="9">
                  <c:v>55050.000000</c:v>
                </c:pt>
                <c:pt idx="10">
                  <c:v>51190.000000</c:v>
                </c:pt>
                <c:pt idx="11">
                  <c:v>58670.000000</c:v>
                </c:pt>
                <c:pt idx="12">
                  <c:v>56500.000000</c:v>
                </c:pt>
              </c:numCache>
            </c:numRef>
          </c:val>
        </c:ser>
        <c:gapWidth val="4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minorGridlines>
          <c:spPr>
            <a:ln w="12700" cap="flat">
              <a:solidFill>
                <a:srgbClr val="000000"/>
              </a:solidFill>
              <a:custDash>
                <a:ds d="100000" sp="200000"/>
              </a:custDash>
              <a:miter lim="400000"/>
            </a:ln>
          </c:spPr>
        </c:min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15000"/>
        <c:minorUnit val="7500"/>
      </c:valAx>
      <c:spPr>
        <a:noFill/>
        <a:ln w="12700" cap="flat">
          <a:noFill/>
          <a:miter lim="400000"/>
        </a:ln>
        <a:effectLst/>
      </c:spPr>
    </c:plotArea>
    <c:plotVisOnly val="1"/>
    <c:dispBlanksAs val="gap"/>
  </c:chart>
  <c:spPr>
    <a:noFill/>
    <a:ln>
      <a:noFill/>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700" u="none">
                <a:solidFill>
                  <a:srgbClr val="000000"/>
                </a:solidFill>
                <a:latin typeface="Helvetica Neue"/>
              </a:defRPr>
            </a:pPr>
            <a:r>
              <a:rPr b="1" i="0" strike="noStrike" sz="1700" u="none">
                <a:solidFill>
                  <a:srgbClr val="000000"/>
                </a:solidFill>
                <a:latin typeface="Helvetica Neue"/>
              </a:rPr>
              <a:t>Regional Sales Comparison</a:t>
            </a:r>
          </a:p>
        </c:rich>
      </c:tx>
      <c:layout>
        <c:manualLayout>
          <c:xMode val="edge"/>
          <c:yMode val="edge"/>
          <c:x val="0.238763"/>
          <c:y val="0"/>
          <c:w val="0.522473"/>
          <c:h val="0.0997715"/>
        </c:manualLayout>
      </c:layout>
      <c:overlay val="1"/>
      <c:spPr>
        <a:noFill/>
        <a:effectLst/>
      </c:spPr>
    </c:title>
    <c:autoTitleDeleted val="1"/>
    <c:plotArea>
      <c:layout>
        <c:manualLayout>
          <c:layoutTarget val="inner"/>
          <c:xMode val="edge"/>
          <c:yMode val="edge"/>
          <c:x val="0.113806"/>
          <c:y val="0.0997715"/>
          <c:w val="0.839651"/>
          <c:h val="0.831863"/>
        </c:manualLayout>
      </c:layout>
      <c:barChart>
        <c:barDir val="bar"/>
        <c:grouping val="clustered"/>
        <c:varyColors val="0"/>
        <c:ser>
          <c:idx val="0"/>
          <c:order val="0"/>
          <c:tx>
            <c:v>Untitled 1</c:v>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1"/>
            <c:showCatName val="0"/>
            <c:showSerName val="0"/>
            <c:showPercent val="0"/>
            <c:showBubbleSize val="0"/>
            <c:showLeaderLines val="0"/>
          </c:dLbls>
          <c:trendline>
            <c:name>Trend 1</c:name>
            <c:spPr>
              <a:noFill/>
              <a:ln w="25400" cap="flat">
                <a:solidFill>
                  <a:srgbClr val="72FF40"/>
                </a:solidFill>
                <a:prstDash val="solid"/>
                <a:miter lim="400000"/>
              </a:ln>
              <a:effectLst>
                <a:outerShdw sx="100000" sy="100000" kx="0" ky="0" algn="tl" rotWithShape="1" blurRad="12700" dist="25400" dir="7320000">
                  <a:srgbClr val="000000">
                    <a:alpha val="25000"/>
                  </a:srgbClr>
                </a:outerShdw>
              </a:effectLst>
            </c:spPr>
            <c:trendlineType val="poly"/>
            <c:order val="4"/>
            <c:forward val="0"/>
            <c:backward val="0"/>
            <c:dispRSqr val="0"/>
            <c:dispEq val="0"/>
            <c:trendlineLbl>
              <c:layout/>
              <c:numFmt formatCode="General" sourceLinked="0"/>
              <c:tx>
                <c:rich>
                  <a:bodyPr rot="0"/>
                  <a:lstStyle/>
                  <a:p>
                    <a:pPr/>
                  </a:p>
                </c:rich>
              </c:tx>
            </c:trendlineLbl>
          </c:trendline>
          <c:cat>
            <c:strRef>
              <c:f>'dashboard - Retail Sales Dashbo'!$E$13,'dashboard - Retail Sales Dashbo'!$E$14,'dashboard - Retail Sales Dashbo'!$E$15,'dashboard - Retail Sales Dashbo'!$E$16,'dashboard - Retail Sales Dashbo'!$E$17</c:f>
              <c:strCache>
                <c:ptCount val="5"/>
                <c:pt idx="0">
                  <c:v>Regions</c:v>
                </c:pt>
                <c:pt idx="1">
                  <c:v>North</c:v>
                </c:pt>
                <c:pt idx="2">
                  <c:v>South</c:v>
                </c:pt>
                <c:pt idx="3">
                  <c:v>East</c:v>
                </c:pt>
                <c:pt idx="4">
                  <c:v>West</c:v>
                </c:pt>
              </c:strCache>
            </c:strRef>
          </c:cat>
          <c:val>
            <c:numRef>
              <c:f>'dashboard - Retail Sales Dashbo'!$E$13:$E$17</c:f>
              <c:numCache>
                <c:ptCount val="0"/>
              </c:numCache>
            </c:numRef>
          </c:val>
        </c:ser>
        <c:ser>
          <c:idx val="1"/>
          <c:order val="1"/>
          <c:tx>
            <c:v>Untitled 2</c:v>
          </c:tx>
          <c:spPr>
            <a:solidFill>
              <a:schemeClr val="accent2">
                <a:hueOff val="260013"/>
                <a:satOff val="17755"/>
                <a:lumOff val="-25437"/>
              </a:schemeClr>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1"/>
            <c:showCatName val="0"/>
            <c:showSerName val="0"/>
            <c:showPercent val="0"/>
            <c:showBubbleSize val="0"/>
            <c:showLeaderLines val="0"/>
          </c:dLbls>
          <c:trendline>
            <c:name>Trend 2</c:name>
            <c:spPr>
              <a:noFill/>
              <a:ln w="25400" cap="flat">
                <a:solidFill>
                  <a:srgbClr val="00AEA7"/>
                </a:solidFill>
                <a:prstDash val="solid"/>
                <a:miter lim="400000"/>
              </a:ln>
              <a:effectLst>
                <a:outerShdw sx="100000" sy="100000" kx="0" ky="0" algn="tl" rotWithShape="1" blurRad="12700" dist="25400" dir="7320000">
                  <a:srgbClr val="000000">
                    <a:alpha val="25000"/>
                  </a:srgbClr>
                </a:outerShdw>
              </a:effectLst>
            </c:spPr>
            <c:trendlineType val="poly"/>
            <c:order val="4"/>
            <c:forward val="0"/>
            <c:backward val="0"/>
            <c:dispRSqr val="0"/>
            <c:dispEq val="0"/>
            <c:trendlineLbl>
              <c:layout/>
              <c:numFmt formatCode="General" sourceLinked="0"/>
              <c:tx>
                <c:rich>
                  <a:bodyPr rot="0"/>
                  <a:lstStyle/>
                  <a:p>
                    <a:pPr/>
                  </a:p>
                </c:rich>
              </c:tx>
            </c:trendlineLbl>
          </c:trendline>
          <c:cat>
            <c:strRef>
              <c:f>'dashboard - Retail Sales Dashbo'!$E$13,'dashboard - Retail Sales Dashbo'!$E$14,'dashboard - Retail Sales Dashbo'!$E$15,'dashboard - Retail Sales Dashbo'!$E$16,'dashboard - Retail Sales Dashbo'!$E$17</c:f>
              <c:strCache>
                <c:ptCount val="5"/>
                <c:pt idx="0">
                  <c:v>Regions</c:v>
                </c:pt>
                <c:pt idx="1">
                  <c:v>North</c:v>
                </c:pt>
                <c:pt idx="2">
                  <c:v>South</c:v>
                </c:pt>
                <c:pt idx="3">
                  <c:v>East</c:v>
                </c:pt>
                <c:pt idx="4">
                  <c:v>West</c:v>
                </c:pt>
              </c:strCache>
            </c:strRef>
          </c:cat>
          <c:val>
            <c:numRef>
              <c:f>'dashboard - Retail Sales Dashbo'!$F$13:$F$17</c:f>
              <c:numCache>
                <c:ptCount val="4"/>
                <c:pt idx="1">
                  <c:v>144070.000000</c:v>
                </c:pt>
                <c:pt idx="2">
                  <c:v>146270.000000</c:v>
                </c:pt>
                <c:pt idx="3">
                  <c:v>149870.000000</c:v>
                </c:pt>
                <c:pt idx="4">
                  <c:v>156090.000000</c:v>
                </c:pt>
              </c:numCache>
            </c:numRef>
          </c:val>
        </c:ser>
        <c:gapWidth val="40"/>
        <c:overlap val="-10"/>
        <c:axId val="2094734552"/>
        <c:axId val="2094734553"/>
      </c:barChart>
      <c:catAx>
        <c:axId val="2094734552"/>
        <c:scaling>
          <c:orientation val="maxMin"/>
        </c:scaling>
        <c:delete val="0"/>
        <c:axPos val="l"/>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b"/>
        <c:majorGridlines>
          <c:spPr>
            <a:ln w="6350" cap="flat">
              <a:solidFill>
                <a:srgbClr val="B8B8B8"/>
              </a:solidFill>
              <a:prstDash val="solid"/>
              <a:miter lim="400000"/>
            </a:ln>
          </c:spPr>
        </c:majorGridlines>
        <c:numFmt formatCode="General" sourceLinked="1"/>
        <c:majorTickMark val="in"/>
        <c:minorTickMark val="none"/>
        <c:tickLblPos val="high"/>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4000"/>
        <c:minorUnit val="2000"/>
      </c:valAx>
      <c:spPr>
        <a:noFill/>
        <a:ln w="12700" cap="flat">
          <a:noFill/>
          <a:miter lim="400000"/>
        </a:ln>
        <a:effectLst/>
      </c:spPr>
    </c:plotArea>
    <c:plotVisOnly val="1"/>
    <c:dispBlanksAs val="gap"/>
  </c:chart>
  <c:spPr>
    <a:noFill/>
    <a:ln>
      <a:noFill/>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700" u="none">
                <a:solidFill>
                  <a:srgbClr val="000000"/>
                </a:solidFill>
                <a:latin typeface="Helvetica Neue"/>
              </a:defRPr>
            </a:pPr>
            <a:r>
              <a:rPr b="1" i="0" strike="noStrike" sz="1700" u="none">
                <a:solidFill>
                  <a:srgbClr val="000000"/>
                </a:solidFill>
                <a:latin typeface="Helvetica Neue"/>
              </a:rPr>
              <a:t>Product Sales Comparison</a:t>
            </a:r>
          </a:p>
        </c:rich>
      </c:tx>
      <c:layout>
        <c:manualLayout>
          <c:xMode val="edge"/>
          <c:yMode val="edge"/>
          <c:x val="0.22851"/>
          <c:y val="0"/>
          <c:w val="0.54298"/>
          <c:h val="0.0974529"/>
        </c:manualLayout>
      </c:layout>
      <c:overlay val="1"/>
      <c:spPr>
        <a:noFill/>
        <a:effectLst/>
      </c:spPr>
    </c:title>
    <c:autoTitleDeleted val="1"/>
    <c:plotArea>
      <c:layout>
        <c:manualLayout>
          <c:layoutTarget val="inner"/>
          <c:xMode val="edge"/>
          <c:yMode val="edge"/>
          <c:x val="0.0712624"/>
          <c:y val="0.0974529"/>
          <c:w val="0.923738"/>
          <c:h val="0.841528"/>
        </c:manualLayout>
      </c:layout>
      <c:barChart>
        <c:barDir val="col"/>
        <c:grouping val="stacked"/>
        <c:varyColors val="0"/>
        <c:ser>
          <c:idx val="0"/>
          <c:order val="0"/>
          <c:tx>
            <c:v>Untitled 1</c:v>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1"/>
            <c:showCatName val="0"/>
            <c:showSerName val="0"/>
            <c:showPercent val="0"/>
            <c:showBubbleSize val="0"/>
            <c:showLeaderLines val="0"/>
          </c:dLbls>
          <c:cat>
            <c:strRef>
              <c:f>'dashboard - Retail Sales Dashbo'!$A$29:$A$33</c:f>
              <c:strCache>
                <c:ptCount val="5"/>
                <c:pt idx="0">
                  <c:v>Product</c:v>
                </c:pt>
                <c:pt idx="1">
                  <c:v>Laptop</c:v>
                </c:pt>
                <c:pt idx="2">
                  <c:v>Phone</c:v>
                </c:pt>
                <c:pt idx="3">
                  <c:v>Tablet</c:v>
                </c:pt>
                <c:pt idx="4">
                  <c:v>Monitor</c:v>
                </c:pt>
              </c:strCache>
            </c:strRef>
          </c:cat>
          <c:val>
            <c:numRef>
              <c:f>'dashboard - Retail Sales Dashbo'!$A$29:$A$33</c:f>
              <c:numCache>
                <c:ptCount val="0"/>
              </c:numCache>
            </c:numRef>
          </c:val>
        </c:ser>
        <c:ser>
          <c:idx val="1"/>
          <c:order val="1"/>
          <c:tx>
            <c:v>Untitled 2</c:v>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1"/>
            <c:showCatName val="0"/>
            <c:showSerName val="0"/>
            <c:showPercent val="0"/>
            <c:showBubbleSize val="0"/>
            <c:showLeaderLines val="0"/>
          </c:dLbls>
          <c:cat>
            <c:strRef>
              <c:f>'dashboard - Retail Sales Dashbo'!$A$29:$A$33</c:f>
              <c:strCache>
                <c:ptCount val="5"/>
                <c:pt idx="0">
                  <c:v>Product</c:v>
                </c:pt>
                <c:pt idx="1">
                  <c:v>Laptop</c:v>
                </c:pt>
                <c:pt idx="2">
                  <c:v>Phone</c:v>
                </c:pt>
                <c:pt idx="3">
                  <c:v>Tablet</c:v>
                </c:pt>
                <c:pt idx="4">
                  <c:v>Monitor</c:v>
                </c:pt>
              </c:strCache>
            </c:strRef>
          </c:cat>
          <c:val>
            <c:numRef>
              <c:f>'dashboard - Retail Sales Dashbo'!$B$29:$B$33</c:f>
              <c:numCache>
                <c:ptCount val="4"/>
                <c:pt idx="1">
                  <c:v>252.000000</c:v>
                </c:pt>
                <c:pt idx="2">
                  <c:v>576.000000</c:v>
                </c:pt>
                <c:pt idx="3">
                  <c:v>394.000000</c:v>
                </c:pt>
                <c:pt idx="4">
                  <c:v>418.000000</c:v>
                </c:pt>
              </c:numCache>
            </c:numRef>
          </c:val>
        </c:ser>
        <c:gapWidth val="4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150"/>
        <c:minorUnit val="75"/>
      </c:valAx>
      <c:spPr>
        <a:noFill/>
        <a:ln w="12700" cap="flat">
          <a:noFill/>
          <a:miter lim="400000"/>
        </a:ln>
        <a:effectLst/>
      </c:spPr>
    </c:plotArea>
    <c:plotVisOnly val="1"/>
    <c:dispBlanksAs val="gap"/>
  </c:chart>
  <c:spPr>
    <a:noFill/>
    <a:ln>
      <a:noFill/>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39</xdr:row>
      <xdr:rowOff>64473</xdr:rowOff>
    </xdr:from>
    <xdr:to>
      <xdr:col>7</xdr:col>
      <xdr:colOff>315700</xdr:colOff>
      <xdr:row>55</xdr:row>
      <xdr:rowOff>245611</xdr:rowOff>
    </xdr:to>
    <xdr:graphicFrame>
      <xdr:nvGraphicFramePr>
        <xdr:cNvPr id="2" name="2D Stacked Column Chart"/>
        <xdr:cNvGraphicFramePr/>
      </xdr:nvGraphicFramePr>
      <xdr:xfrm>
        <a:off x="-233966" y="10736918"/>
        <a:ext cx="10348702" cy="4224819"/>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0</xdr:col>
      <xdr:colOff>0</xdr:colOff>
      <xdr:row>63</xdr:row>
      <xdr:rowOff>243172</xdr:rowOff>
    </xdr:from>
    <xdr:to>
      <xdr:col>3</xdr:col>
      <xdr:colOff>1090230</xdr:colOff>
      <xdr:row>80</xdr:row>
      <xdr:rowOff>48950</xdr:rowOff>
    </xdr:to>
    <xdr:graphicFrame>
      <xdr:nvGraphicFramePr>
        <xdr:cNvPr id="3" name="2D Bar Chart"/>
        <xdr:cNvGraphicFramePr/>
      </xdr:nvGraphicFramePr>
      <xdr:xfrm>
        <a:off x="-233966" y="16981137"/>
        <a:ext cx="5446332" cy="4102189"/>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5</xdr:col>
      <xdr:colOff>659031</xdr:colOff>
      <xdr:row>63</xdr:row>
      <xdr:rowOff>120174</xdr:rowOff>
    </xdr:from>
    <xdr:to>
      <xdr:col>9</xdr:col>
      <xdr:colOff>239931</xdr:colOff>
      <xdr:row>80</xdr:row>
      <xdr:rowOff>23550</xdr:rowOff>
    </xdr:to>
    <xdr:graphicFrame>
      <xdr:nvGraphicFramePr>
        <xdr:cNvPr id="4" name="2D Stacked Column Chart"/>
        <xdr:cNvGraphicFramePr/>
      </xdr:nvGraphicFramePr>
      <xdr:xfrm>
        <a:off x="7682131" y="16858139"/>
        <a:ext cx="5080001" cy="4199787"/>
      </xdr:xfrm>
      <a:graphic xmlns:a="http://schemas.openxmlformats.org/drawingml/2006/main">
        <a:graphicData uri="http://schemas.openxmlformats.org/drawingml/2006/chart">
          <c:chart xmlns:c="http://schemas.openxmlformats.org/drawingml/2006/chart" r:id="rId3"/>
        </a:graphicData>
      </a:graphic>
    </xdr:graphicFrame>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4</v>
      </c>
      <c r="D10" t="s" s="5">
        <v>5</v>
      </c>
    </row>
    <row r="11">
      <c r="B11" t="s" s="3">
        <v>22</v>
      </c>
      <c r="C11" s="3"/>
      <c r="D11" s="3"/>
    </row>
    <row r="12">
      <c r="B12" s="4"/>
      <c r="C12" t="s" s="4">
        <v>23</v>
      </c>
      <c r="D12" t="s" s="5">
        <v>24</v>
      </c>
    </row>
  </sheetData>
  <mergeCells count="1">
    <mergeCell ref="B3:D3"/>
  </mergeCells>
  <hyperlinks>
    <hyperlink ref="D10" location="'Retail Sales Dataset - Retail S'!R2C1" tooltip="" display="Retail Sales Dataset - Retail S"/>
    <hyperlink ref="D12" location="'dashboard - Retail Sales Dashbo'!R2C1" tooltip="" display="dashboard - Retail Sales Dashbo"/>
  </hyperlinks>
</worksheet>
</file>

<file path=xl/worksheets/sheet2.xml><?xml version="1.0" encoding="utf-8"?>
<worksheet xmlns:r="http://schemas.openxmlformats.org/officeDocument/2006/relationships" xmlns="http://schemas.openxmlformats.org/spreadsheetml/2006/main">
  <dimension ref="A2:H50"/>
  <sheetViews>
    <sheetView workbookViewId="0" showGridLines="0" defaultGridColor="1"/>
  </sheetViews>
  <sheetFormatPr defaultColWidth="16.3333" defaultRowHeight="19.9" customHeight="1" outlineLevelRow="0" outlineLevelCol="0"/>
  <cols>
    <col min="1" max="8" width="16.3516" style="6" customWidth="1"/>
    <col min="9" max="16384" width="16.3516" style="6" customWidth="1"/>
  </cols>
  <sheetData>
    <row r="1" ht="27.65" customHeight="1">
      <c r="A1" t="s" s="7">
        <v>4</v>
      </c>
      <c r="B1" s="7"/>
      <c r="C1" s="7"/>
      <c r="D1" s="7"/>
      <c r="E1" s="7"/>
      <c r="F1" s="7"/>
      <c r="G1" s="7"/>
      <c r="H1" s="7"/>
    </row>
    <row r="2" ht="20.2" customHeight="1">
      <c r="A2" t="s" s="8">
        <v>6</v>
      </c>
      <c r="B2" t="s" s="8">
        <v>7</v>
      </c>
      <c r="C2" t="s" s="8">
        <v>8</v>
      </c>
      <c r="D2" t="s" s="8">
        <v>9</v>
      </c>
      <c r="E2" t="s" s="8">
        <v>10</v>
      </c>
      <c r="F2" t="s" s="8">
        <v>11</v>
      </c>
      <c r="G2" t="s" s="8">
        <v>12</v>
      </c>
      <c r="H2" t="s" s="8">
        <v>13</v>
      </c>
    </row>
    <row r="3" ht="20.2" customHeight="1">
      <c r="A3" s="9">
        <v>46023</v>
      </c>
      <c r="B3" t="s" s="10">
        <v>14</v>
      </c>
      <c r="C3" t="s" s="10">
        <v>15</v>
      </c>
      <c r="D3" s="11">
        <v>18</v>
      </c>
      <c r="E3" s="11">
        <v>720</v>
      </c>
      <c r="F3" s="11">
        <v>12960</v>
      </c>
      <c r="G3" s="12">
        <v>2332.8</v>
      </c>
      <c r="H3" s="11">
        <v>0.18</v>
      </c>
    </row>
    <row r="4" ht="20.2" customHeight="1">
      <c r="A4" s="13">
        <v>46023</v>
      </c>
      <c r="B4" t="s" s="8">
        <v>16</v>
      </c>
      <c r="C4" t="s" s="8">
        <v>17</v>
      </c>
      <c r="D4" s="14">
        <v>42</v>
      </c>
      <c r="E4" s="14">
        <v>390</v>
      </c>
      <c r="F4" s="14">
        <v>16380</v>
      </c>
      <c r="G4" s="15">
        <v>2293.2</v>
      </c>
      <c r="H4" s="14">
        <v>0.14</v>
      </c>
    </row>
    <row r="5" ht="20.2" customHeight="1">
      <c r="A5" s="9">
        <v>46023</v>
      </c>
      <c r="B5" t="s" s="10">
        <v>18</v>
      </c>
      <c r="C5" t="s" s="10">
        <v>19</v>
      </c>
      <c r="D5" s="11">
        <v>25</v>
      </c>
      <c r="E5" s="11">
        <v>260</v>
      </c>
      <c r="F5" s="11">
        <v>6500</v>
      </c>
      <c r="G5" s="12">
        <v>1040</v>
      </c>
      <c r="H5" s="11">
        <v>0.16</v>
      </c>
    </row>
    <row r="6" ht="20.2" customHeight="1">
      <c r="A6" s="13">
        <v>46023</v>
      </c>
      <c r="B6" t="s" s="8">
        <v>20</v>
      </c>
      <c r="C6" t="s" s="8">
        <v>21</v>
      </c>
      <c r="D6" s="14">
        <v>30</v>
      </c>
      <c r="E6" s="14">
        <v>210</v>
      </c>
      <c r="F6" s="14">
        <v>6300</v>
      </c>
      <c r="G6" s="15">
        <v>756</v>
      </c>
      <c r="H6" s="14">
        <v>0.12</v>
      </c>
    </row>
    <row r="7" ht="20.2" customHeight="1">
      <c r="A7" s="9">
        <v>46054</v>
      </c>
      <c r="B7" t="s" s="10">
        <v>14</v>
      </c>
      <c r="C7" t="s" s="10">
        <v>17</v>
      </c>
      <c r="D7" s="11">
        <v>35</v>
      </c>
      <c r="E7" s="11">
        <v>390</v>
      </c>
      <c r="F7" s="11">
        <v>13650</v>
      </c>
      <c r="G7" s="12">
        <v>1911</v>
      </c>
      <c r="H7" s="11">
        <v>0.14</v>
      </c>
    </row>
    <row r="8" ht="20.2" customHeight="1">
      <c r="A8" s="13">
        <v>46054</v>
      </c>
      <c r="B8" t="s" s="8">
        <v>16</v>
      </c>
      <c r="C8" t="s" s="8">
        <v>15</v>
      </c>
      <c r="D8" s="14">
        <v>15</v>
      </c>
      <c r="E8" s="14">
        <v>720</v>
      </c>
      <c r="F8" s="14">
        <v>10800</v>
      </c>
      <c r="G8" s="15">
        <v>1944</v>
      </c>
      <c r="H8" s="14">
        <v>0.18</v>
      </c>
    </row>
    <row r="9" ht="20.2" customHeight="1">
      <c r="A9" s="9">
        <v>46054</v>
      </c>
      <c r="B9" t="s" s="10">
        <v>18</v>
      </c>
      <c r="C9" t="s" s="10">
        <v>21</v>
      </c>
      <c r="D9" s="11">
        <v>28</v>
      </c>
      <c r="E9" s="11">
        <v>210</v>
      </c>
      <c r="F9" s="11">
        <v>5880</v>
      </c>
      <c r="G9" s="12">
        <v>705.6</v>
      </c>
      <c r="H9" s="11">
        <v>0.12</v>
      </c>
    </row>
    <row r="10" ht="20.2" customHeight="1">
      <c r="A10" s="13">
        <v>46054</v>
      </c>
      <c r="B10" t="s" s="8">
        <v>20</v>
      </c>
      <c r="C10" t="s" s="8">
        <v>19</v>
      </c>
      <c r="D10" s="14">
        <v>32</v>
      </c>
      <c r="E10" s="14">
        <v>260</v>
      </c>
      <c r="F10" s="14">
        <v>8320</v>
      </c>
      <c r="G10" s="15">
        <v>1331.2</v>
      </c>
      <c r="H10" s="14">
        <v>0.16</v>
      </c>
    </row>
    <row r="11" ht="20.2" customHeight="1">
      <c r="A11" s="9">
        <v>46082</v>
      </c>
      <c r="B11" t="s" s="10">
        <v>14</v>
      </c>
      <c r="C11" t="s" s="10">
        <v>19</v>
      </c>
      <c r="D11" s="11">
        <v>30</v>
      </c>
      <c r="E11" s="11">
        <v>260</v>
      </c>
      <c r="F11" s="11">
        <v>7800</v>
      </c>
      <c r="G11" s="12">
        <v>1248</v>
      </c>
      <c r="H11" s="11">
        <v>0.16</v>
      </c>
    </row>
    <row r="12" ht="20.2" customHeight="1">
      <c r="A12" s="13">
        <v>46082</v>
      </c>
      <c r="B12" t="s" s="8">
        <v>16</v>
      </c>
      <c r="C12" t="s" s="8">
        <v>21</v>
      </c>
      <c r="D12" s="14">
        <v>36</v>
      </c>
      <c r="E12" s="14">
        <v>210</v>
      </c>
      <c r="F12" s="14">
        <v>7560</v>
      </c>
      <c r="G12" s="15">
        <v>907.2</v>
      </c>
      <c r="H12" s="14">
        <v>0.12</v>
      </c>
    </row>
    <row r="13" ht="20.2" customHeight="1">
      <c r="A13" s="9">
        <v>46082</v>
      </c>
      <c r="B13" t="s" s="10">
        <v>18</v>
      </c>
      <c r="C13" t="s" s="10">
        <v>15</v>
      </c>
      <c r="D13" s="11">
        <v>20</v>
      </c>
      <c r="E13" s="11">
        <v>720</v>
      </c>
      <c r="F13" s="11">
        <v>14400</v>
      </c>
      <c r="G13" s="12">
        <v>2592</v>
      </c>
      <c r="H13" s="11">
        <v>0.18</v>
      </c>
    </row>
    <row r="14" ht="20.2" customHeight="1">
      <c r="A14" s="13">
        <v>46082</v>
      </c>
      <c r="B14" t="s" s="8">
        <v>20</v>
      </c>
      <c r="C14" t="s" s="8">
        <v>17</v>
      </c>
      <c r="D14" s="14">
        <v>48</v>
      </c>
      <c r="E14" s="14">
        <v>390</v>
      </c>
      <c r="F14" s="14">
        <v>18720</v>
      </c>
      <c r="G14" s="15">
        <v>2620.8</v>
      </c>
      <c r="H14" s="14">
        <v>0.14</v>
      </c>
    </row>
    <row r="15" ht="20.2" customHeight="1">
      <c r="A15" s="9">
        <v>46113</v>
      </c>
      <c r="B15" t="s" s="10">
        <v>14</v>
      </c>
      <c r="C15" t="s" s="10">
        <v>21</v>
      </c>
      <c r="D15" s="11">
        <v>34</v>
      </c>
      <c r="E15" s="11">
        <v>210</v>
      </c>
      <c r="F15" s="11">
        <v>7140</v>
      </c>
      <c r="G15" s="12">
        <v>856.8</v>
      </c>
      <c r="H15" s="11">
        <v>0.12</v>
      </c>
    </row>
    <row r="16" ht="20.2" customHeight="1">
      <c r="A16" s="13">
        <v>46113</v>
      </c>
      <c r="B16" t="s" s="8">
        <v>16</v>
      </c>
      <c r="C16" t="s" s="8">
        <v>19</v>
      </c>
      <c r="D16" s="14">
        <v>28</v>
      </c>
      <c r="E16" s="14">
        <v>260</v>
      </c>
      <c r="F16" s="14">
        <v>7280</v>
      </c>
      <c r="G16" s="15">
        <v>1164.8</v>
      </c>
      <c r="H16" s="14">
        <v>0.16</v>
      </c>
    </row>
    <row r="17" ht="20.2" customHeight="1">
      <c r="A17" s="9">
        <v>46113</v>
      </c>
      <c r="B17" t="s" s="10">
        <v>18</v>
      </c>
      <c r="C17" t="s" s="10">
        <v>17</v>
      </c>
      <c r="D17" s="11">
        <v>45</v>
      </c>
      <c r="E17" s="11">
        <v>390</v>
      </c>
      <c r="F17" s="11">
        <v>17550</v>
      </c>
      <c r="G17" s="12">
        <v>2457</v>
      </c>
      <c r="H17" s="11">
        <v>0.14</v>
      </c>
    </row>
    <row r="18" ht="20.2" customHeight="1">
      <c r="A18" s="13">
        <v>46113</v>
      </c>
      <c r="B18" t="s" s="8">
        <v>20</v>
      </c>
      <c r="C18" t="s" s="8">
        <v>15</v>
      </c>
      <c r="D18" s="14">
        <v>17</v>
      </c>
      <c r="E18" s="14">
        <v>720</v>
      </c>
      <c r="F18" s="14">
        <v>12240</v>
      </c>
      <c r="G18" s="15">
        <v>2203.2</v>
      </c>
      <c r="H18" s="14">
        <v>0.18</v>
      </c>
    </row>
    <row r="19" ht="20.2" customHeight="1">
      <c r="A19" s="9">
        <v>46143</v>
      </c>
      <c r="B19" t="s" s="10">
        <v>14</v>
      </c>
      <c r="C19" t="s" s="10">
        <v>15</v>
      </c>
      <c r="D19" s="11">
        <v>21</v>
      </c>
      <c r="E19" s="11">
        <v>720</v>
      </c>
      <c r="F19" s="11">
        <v>15120</v>
      </c>
      <c r="G19" s="12">
        <v>2721.6</v>
      </c>
      <c r="H19" s="11">
        <v>0.18</v>
      </c>
    </row>
    <row r="20" ht="20.2" customHeight="1">
      <c r="A20" s="13">
        <v>46143</v>
      </c>
      <c r="B20" t="s" s="8">
        <v>16</v>
      </c>
      <c r="C20" t="s" s="8">
        <v>17</v>
      </c>
      <c r="D20" s="14">
        <v>50</v>
      </c>
      <c r="E20" s="14">
        <v>390</v>
      </c>
      <c r="F20" s="14">
        <v>19500</v>
      </c>
      <c r="G20" s="15">
        <v>2730</v>
      </c>
      <c r="H20" s="14">
        <v>0.14</v>
      </c>
    </row>
    <row r="21" ht="20.2" customHeight="1">
      <c r="A21" s="9">
        <v>46143</v>
      </c>
      <c r="B21" t="s" s="10">
        <v>18</v>
      </c>
      <c r="C21" t="s" s="10">
        <v>19</v>
      </c>
      <c r="D21" s="11">
        <v>33</v>
      </c>
      <c r="E21" s="11">
        <v>260</v>
      </c>
      <c r="F21" s="11">
        <v>8580</v>
      </c>
      <c r="G21" s="12">
        <v>1372.8</v>
      </c>
      <c r="H21" s="11">
        <v>0.16</v>
      </c>
    </row>
    <row r="22" ht="20.2" customHeight="1">
      <c r="A22" s="13">
        <v>46143</v>
      </c>
      <c r="B22" t="s" s="8">
        <v>20</v>
      </c>
      <c r="C22" t="s" s="8">
        <v>21</v>
      </c>
      <c r="D22" s="14">
        <v>32</v>
      </c>
      <c r="E22" s="14">
        <v>210</v>
      </c>
      <c r="F22" s="14">
        <v>6720</v>
      </c>
      <c r="G22" s="15">
        <v>806.4</v>
      </c>
      <c r="H22" s="14">
        <v>0.12</v>
      </c>
    </row>
    <row r="23" ht="20.2" customHeight="1">
      <c r="A23" s="9">
        <v>46174</v>
      </c>
      <c r="B23" t="s" s="10">
        <v>14</v>
      </c>
      <c r="C23" t="s" s="10">
        <v>17</v>
      </c>
      <c r="D23" s="11">
        <v>44</v>
      </c>
      <c r="E23" s="11">
        <v>390</v>
      </c>
      <c r="F23" s="11">
        <v>17160</v>
      </c>
      <c r="G23" s="12">
        <v>2402.4</v>
      </c>
      <c r="H23" s="11">
        <v>0.14</v>
      </c>
    </row>
    <row r="24" ht="20.2" customHeight="1">
      <c r="A24" s="13">
        <v>46174</v>
      </c>
      <c r="B24" t="s" s="8">
        <v>16</v>
      </c>
      <c r="C24" t="s" s="8">
        <v>15</v>
      </c>
      <c r="D24" s="14">
        <v>19</v>
      </c>
      <c r="E24" s="14">
        <v>720</v>
      </c>
      <c r="F24" s="14">
        <v>13680</v>
      </c>
      <c r="G24" s="15">
        <v>2462.4</v>
      </c>
      <c r="H24" s="14">
        <v>0.18</v>
      </c>
    </row>
    <row r="25" ht="20.2" customHeight="1">
      <c r="A25" s="9">
        <v>46174</v>
      </c>
      <c r="B25" t="s" s="10">
        <v>18</v>
      </c>
      <c r="C25" t="s" s="10">
        <v>21</v>
      </c>
      <c r="D25" s="11">
        <v>31</v>
      </c>
      <c r="E25" s="11">
        <v>210</v>
      </c>
      <c r="F25" s="11">
        <v>6510</v>
      </c>
      <c r="G25" s="12">
        <v>781.2</v>
      </c>
      <c r="H25" s="11">
        <v>0.12</v>
      </c>
    </row>
    <row r="26" ht="20.2" customHeight="1">
      <c r="A26" s="13">
        <v>46174</v>
      </c>
      <c r="B26" t="s" s="8">
        <v>20</v>
      </c>
      <c r="C26" t="s" s="8">
        <v>19</v>
      </c>
      <c r="D26" s="14">
        <v>35</v>
      </c>
      <c r="E26" s="14">
        <v>260</v>
      </c>
      <c r="F26" s="14">
        <v>9100</v>
      </c>
      <c r="G26" s="15">
        <v>1456</v>
      </c>
      <c r="H26" s="14">
        <v>0.16</v>
      </c>
    </row>
    <row r="27" ht="20.2" customHeight="1">
      <c r="A27" s="9">
        <v>46204</v>
      </c>
      <c r="B27" t="s" s="10">
        <v>14</v>
      </c>
      <c r="C27" t="s" s="10">
        <v>19</v>
      </c>
      <c r="D27" s="11">
        <v>34</v>
      </c>
      <c r="E27" s="11">
        <v>260</v>
      </c>
      <c r="F27" s="11">
        <v>8840</v>
      </c>
      <c r="G27" s="12">
        <v>1414.4</v>
      </c>
      <c r="H27" s="11">
        <v>0.16</v>
      </c>
    </row>
    <row r="28" ht="20.2" customHeight="1">
      <c r="A28" s="13">
        <v>46204</v>
      </c>
      <c r="B28" t="s" s="8">
        <v>16</v>
      </c>
      <c r="C28" t="s" s="8">
        <v>21</v>
      </c>
      <c r="D28" s="14">
        <v>39</v>
      </c>
      <c r="E28" s="14">
        <v>210</v>
      </c>
      <c r="F28" s="14">
        <v>8190</v>
      </c>
      <c r="G28" s="15">
        <v>982.8</v>
      </c>
      <c r="H28" s="14">
        <v>0.12</v>
      </c>
    </row>
    <row r="29" ht="20.2" customHeight="1">
      <c r="A29" s="9">
        <v>46204</v>
      </c>
      <c r="B29" t="s" s="10">
        <v>18</v>
      </c>
      <c r="C29" t="s" s="10">
        <v>15</v>
      </c>
      <c r="D29" s="11">
        <v>23</v>
      </c>
      <c r="E29" s="11">
        <v>720</v>
      </c>
      <c r="F29" s="11">
        <v>16560</v>
      </c>
      <c r="G29" s="12">
        <v>2980.8</v>
      </c>
      <c r="H29" s="11">
        <v>0.18</v>
      </c>
    </row>
    <row r="30" ht="20.2" customHeight="1">
      <c r="A30" s="13">
        <v>46204</v>
      </c>
      <c r="B30" t="s" s="8">
        <v>20</v>
      </c>
      <c r="C30" t="s" s="8">
        <v>17</v>
      </c>
      <c r="D30" s="14">
        <v>53</v>
      </c>
      <c r="E30" s="14">
        <v>390</v>
      </c>
      <c r="F30" s="14">
        <v>20670</v>
      </c>
      <c r="G30" s="15">
        <v>2893.8</v>
      </c>
      <c r="H30" s="14">
        <v>0.14</v>
      </c>
    </row>
    <row r="31" ht="20.2" customHeight="1">
      <c r="A31" s="9">
        <v>46235</v>
      </c>
      <c r="B31" t="s" s="10">
        <v>14</v>
      </c>
      <c r="C31" t="s" s="10">
        <v>21</v>
      </c>
      <c r="D31" s="11">
        <v>37</v>
      </c>
      <c r="E31" s="11">
        <v>210</v>
      </c>
      <c r="F31" s="11">
        <v>7770</v>
      </c>
      <c r="G31" s="12">
        <v>932.4</v>
      </c>
      <c r="H31" s="11">
        <v>0.12</v>
      </c>
    </row>
    <row r="32" ht="20.2" customHeight="1">
      <c r="A32" s="13">
        <v>46235</v>
      </c>
      <c r="B32" t="s" s="8">
        <v>16</v>
      </c>
      <c r="C32" t="s" s="8">
        <v>19</v>
      </c>
      <c r="D32" s="14">
        <v>31</v>
      </c>
      <c r="E32" s="14">
        <v>260</v>
      </c>
      <c r="F32" s="14">
        <v>8060</v>
      </c>
      <c r="G32" s="15">
        <v>1289.6</v>
      </c>
      <c r="H32" s="14">
        <v>0.16</v>
      </c>
    </row>
    <row r="33" ht="20.2" customHeight="1">
      <c r="A33" s="9">
        <v>46235</v>
      </c>
      <c r="B33" t="s" s="10">
        <v>18</v>
      </c>
      <c r="C33" t="s" s="10">
        <v>17</v>
      </c>
      <c r="D33" s="11">
        <v>49</v>
      </c>
      <c r="E33" s="11">
        <v>390</v>
      </c>
      <c r="F33" s="11">
        <v>19110</v>
      </c>
      <c r="G33" s="12">
        <v>2675.4</v>
      </c>
      <c r="H33" s="11">
        <v>0.14</v>
      </c>
    </row>
    <row r="34" ht="20.2" customHeight="1">
      <c r="A34" s="13">
        <v>46235</v>
      </c>
      <c r="B34" t="s" s="8">
        <v>20</v>
      </c>
      <c r="C34" t="s" s="8">
        <v>15</v>
      </c>
      <c r="D34" s="14">
        <v>22</v>
      </c>
      <c r="E34" s="14">
        <v>720</v>
      </c>
      <c r="F34" s="14">
        <v>15840</v>
      </c>
      <c r="G34" s="15">
        <v>2851.2</v>
      </c>
      <c r="H34" s="14">
        <v>0.18</v>
      </c>
    </row>
    <row r="35" ht="20.2" customHeight="1">
      <c r="A35" s="9">
        <v>46266</v>
      </c>
      <c r="B35" t="s" s="10">
        <v>14</v>
      </c>
      <c r="C35" t="s" s="10">
        <v>15</v>
      </c>
      <c r="D35" s="11">
        <v>24</v>
      </c>
      <c r="E35" s="11">
        <v>720</v>
      </c>
      <c r="F35" s="11">
        <v>17280</v>
      </c>
      <c r="G35" s="12">
        <v>3110.4</v>
      </c>
      <c r="H35" s="11">
        <v>0.18</v>
      </c>
    </row>
    <row r="36" ht="20.2" customHeight="1">
      <c r="A36" s="13">
        <v>46266</v>
      </c>
      <c r="B36" t="s" s="8">
        <v>16</v>
      </c>
      <c r="C36" t="s" s="8">
        <v>17</v>
      </c>
      <c r="D36" s="14">
        <v>54</v>
      </c>
      <c r="E36" s="14">
        <v>390</v>
      </c>
      <c r="F36" s="14">
        <v>21060</v>
      </c>
      <c r="G36" s="15">
        <v>2948.4</v>
      </c>
      <c r="H36" s="14">
        <v>0.14</v>
      </c>
    </row>
    <row r="37" ht="20.2" customHeight="1">
      <c r="A37" s="9">
        <v>46266</v>
      </c>
      <c r="B37" t="s" s="10">
        <v>18</v>
      </c>
      <c r="C37" t="s" s="10">
        <v>19</v>
      </c>
      <c r="D37" s="11">
        <v>36</v>
      </c>
      <c r="E37" s="11">
        <v>260</v>
      </c>
      <c r="F37" s="11">
        <v>9360</v>
      </c>
      <c r="G37" s="12">
        <v>1497.6</v>
      </c>
      <c r="H37" s="11">
        <v>0.16</v>
      </c>
    </row>
    <row r="38" ht="20.2" customHeight="1">
      <c r="A38" s="13">
        <v>46266</v>
      </c>
      <c r="B38" t="s" s="8">
        <v>20</v>
      </c>
      <c r="C38" t="s" s="8">
        <v>21</v>
      </c>
      <c r="D38" s="14">
        <v>35</v>
      </c>
      <c r="E38" s="14">
        <v>210</v>
      </c>
      <c r="F38" s="14">
        <v>7350</v>
      </c>
      <c r="G38" s="15">
        <v>882</v>
      </c>
      <c r="H38" s="14">
        <v>0.12</v>
      </c>
    </row>
    <row r="39" ht="20.2" customHeight="1">
      <c r="A39" s="9">
        <v>46296</v>
      </c>
      <c r="B39" t="s" s="10">
        <v>14</v>
      </c>
      <c r="C39" t="s" s="10">
        <v>17</v>
      </c>
      <c r="D39" s="11">
        <v>47</v>
      </c>
      <c r="E39" s="11">
        <v>390</v>
      </c>
      <c r="F39" s="11">
        <v>18330</v>
      </c>
      <c r="G39" s="12">
        <v>2566.2</v>
      </c>
      <c r="H39" s="11">
        <v>0.14</v>
      </c>
    </row>
    <row r="40" ht="20.2" customHeight="1">
      <c r="A40" s="13">
        <v>46296</v>
      </c>
      <c r="B40" t="s" s="8">
        <v>16</v>
      </c>
      <c r="C40" t="s" s="8">
        <v>15</v>
      </c>
      <c r="D40" s="14">
        <v>22</v>
      </c>
      <c r="E40" s="14">
        <v>720</v>
      </c>
      <c r="F40" s="14">
        <v>15840</v>
      </c>
      <c r="G40" s="15">
        <v>2851.2</v>
      </c>
      <c r="H40" s="14">
        <v>0.18</v>
      </c>
    </row>
    <row r="41" ht="20.2" customHeight="1">
      <c r="A41" s="9">
        <v>46296</v>
      </c>
      <c r="B41" t="s" s="10">
        <v>18</v>
      </c>
      <c r="C41" t="s" s="10">
        <v>21</v>
      </c>
      <c r="D41" s="11">
        <v>34</v>
      </c>
      <c r="E41" s="11">
        <v>210</v>
      </c>
      <c r="F41" s="11">
        <v>7140</v>
      </c>
      <c r="G41" s="12">
        <v>856.8</v>
      </c>
      <c r="H41" s="11">
        <v>0.12</v>
      </c>
    </row>
    <row r="42" ht="20.2" customHeight="1">
      <c r="A42" s="13">
        <v>46296</v>
      </c>
      <c r="B42" t="s" s="8">
        <v>20</v>
      </c>
      <c r="C42" t="s" s="8">
        <v>19</v>
      </c>
      <c r="D42" s="14">
        <v>38</v>
      </c>
      <c r="E42" s="14">
        <v>260</v>
      </c>
      <c r="F42" s="14">
        <v>9880</v>
      </c>
      <c r="G42" s="15">
        <v>1580.8</v>
      </c>
      <c r="H42" s="14">
        <v>0.16</v>
      </c>
    </row>
    <row r="43" ht="20.2" customHeight="1">
      <c r="A43" s="9">
        <v>46327</v>
      </c>
      <c r="B43" t="s" s="10">
        <v>14</v>
      </c>
      <c r="C43" t="s" s="10">
        <v>19</v>
      </c>
      <c r="D43" s="11">
        <v>37</v>
      </c>
      <c r="E43" s="11">
        <v>260</v>
      </c>
      <c r="F43" s="11">
        <v>9620</v>
      </c>
      <c r="G43" s="12">
        <v>1539.2</v>
      </c>
      <c r="H43" s="11">
        <v>0.16</v>
      </c>
    </row>
    <row r="44" ht="20.2" customHeight="1">
      <c r="A44" s="13">
        <v>46327</v>
      </c>
      <c r="B44" t="s" s="8">
        <v>16</v>
      </c>
      <c r="C44" t="s" s="8">
        <v>21</v>
      </c>
      <c r="D44" s="14">
        <v>42</v>
      </c>
      <c r="E44" s="14">
        <v>210</v>
      </c>
      <c r="F44" s="14">
        <v>8820</v>
      </c>
      <c r="G44" s="15">
        <v>1058.4</v>
      </c>
      <c r="H44" s="14">
        <v>0.12</v>
      </c>
    </row>
    <row r="45" ht="20.2" customHeight="1">
      <c r="A45" s="9">
        <v>46327</v>
      </c>
      <c r="B45" t="s" s="10">
        <v>18</v>
      </c>
      <c r="C45" t="s" s="10">
        <v>15</v>
      </c>
      <c r="D45" s="11">
        <v>25</v>
      </c>
      <c r="E45" s="11">
        <v>720</v>
      </c>
      <c r="F45" s="11">
        <v>18000</v>
      </c>
      <c r="G45" s="12">
        <v>3240</v>
      </c>
      <c r="H45" s="11">
        <v>0.18</v>
      </c>
    </row>
    <row r="46" ht="20.2" customHeight="1">
      <c r="A46" s="13">
        <v>46327</v>
      </c>
      <c r="B46" t="s" s="8">
        <v>20</v>
      </c>
      <c r="C46" t="s" s="8">
        <v>17</v>
      </c>
      <c r="D46" s="14">
        <v>57</v>
      </c>
      <c r="E46" s="14">
        <v>390</v>
      </c>
      <c r="F46" s="14">
        <v>22230</v>
      </c>
      <c r="G46" s="15">
        <v>3112.2</v>
      </c>
      <c r="H46" s="14">
        <v>0.14</v>
      </c>
    </row>
    <row r="47" ht="20.2" customHeight="1">
      <c r="A47" s="9">
        <v>46357</v>
      </c>
      <c r="B47" t="s" s="10">
        <v>14</v>
      </c>
      <c r="C47" t="s" s="10">
        <v>21</v>
      </c>
      <c r="D47" s="11">
        <v>40</v>
      </c>
      <c r="E47" s="11">
        <v>210</v>
      </c>
      <c r="F47" s="11">
        <v>8400</v>
      </c>
      <c r="G47" s="12">
        <v>1008</v>
      </c>
      <c r="H47" s="11">
        <v>0.12</v>
      </c>
    </row>
    <row r="48" ht="20.2" customHeight="1">
      <c r="A48" s="13">
        <v>46357</v>
      </c>
      <c r="B48" t="s" s="8">
        <v>16</v>
      </c>
      <c r="C48" t="s" s="8">
        <v>19</v>
      </c>
      <c r="D48" s="14">
        <v>35</v>
      </c>
      <c r="E48" s="14">
        <v>260</v>
      </c>
      <c r="F48" s="14">
        <v>9100</v>
      </c>
      <c r="G48" s="15">
        <v>1456</v>
      </c>
      <c r="H48" s="14">
        <v>0.16</v>
      </c>
    </row>
    <row r="49" ht="20.2" customHeight="1">
      <c r="A49" s="9">
        <v>46357</v>
      </c>
      <c r="B49" t="s" s="10">
        <v>18</v>
      </c>
      <c r="C49" t="s" s="10">
        <v>17</v>
      </c>
      <c r="D49" s="11">
        <v>52</v>
      </c>
      <c r="E49" s="11">
        <v>390</v>
      </c>
      <c r="F49" s="11">
        <v>20280</v>
      </c>
      <c r="G49" s="12">
        <v>2839.2</v>
      </c>
      <c r="H49" s="11">
        <v>0.14</v>
      </c>
    </row>
    <row r="50" ht="20.2" customHeight="1">
      <c r="A50" s="13">
        <v>46357</v>
      </c>
      <c r="B50" t="s" s="8">
        <v>20</v>
      </c>
      <c r="C50" t="s" s="8">
        <v>15</v>
      </c>
      <c r="D50" s="14">
        <v>26</v>
      </c>
      <c r="E50" s="14">
        <v>720</v>
      </c>
      <c r="F50" s="14">
        <v>18720</v>
      </c>
      <c r="G50" s="15">
        <v>3369.6</v>
      </c>
      <c r="H50" s="14">
        <v>0.18</v>
      </c>
    </row>
  </sheetData>
  <mergeCells count="1">
    <mergeCell ref="A1:H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G33"/>
  <sheetViews>
    <sheetView workbookViewId="0" showGridLines="0" defaultGridColor="1"/>
  </sheetViews>
  <sheetFormatPr defaultColWidth="16.3333" defaultRowHeight="19.9" customHeight="1" outlineLevelRow="0" outlineLevelCol="0"/>
  <cols>
    <col min="1" max="1" width="19.6172" style="16" customWidth="1"/>
    <col min="2" max="2" width="16.3516" style="16" customWidth="1"/>
    <col min="3" max="3" width="21.1797" style="16" customWidth="1"/>
    <col min="4" max="4" width="16.3516" style="16" customWidth="1"/>
    <col min="5" max="5" width="18.6875" style="16" customWidth="1"/>
    <col min="6" max="6" width="16.3516" style="16" customWidth="1"/>
    <col min="7" max="7" width="23.2109" style="16" customWidth="1"/>
    <col min="8" max="16384" width="16.3516" style="16" customWidth="1"/>
  </cols>
  <sheetData>
    <row r="1" ht="35.45" customHeight="1">
      <c r="A1" t="s" s="17">
        <v>23</v>
      </c>
      <c r="B1" s="17"/>
      <c r="C1" s="17"/>
      <c r="D1" s="17"/>
      <c r="E1" s="17"/>
      <c r="F1" s="17"/>
      <c r="G1" s="17"/>
    </row>
    <row r="2" ht="18.95" customHeight="1">
      <c r="A2" t="s" s="18">
        <v>25</v>
      </c>
      <c r="B2" s="19"/>
      <c r="C2" s="19"/>
      <c r="D2" s="19"/>
      <c r="E2" s="19"/>
      <c r="F2" s="19"/>
      <c r="G2" s="19"/>
    </row>
    <row r="3" ht="21.65" customHeight="1">
      <c r="A3" s="19"/>
      <c r="B3" s="19"/>
      <c r="C3" s="19"/>
      <c r="D3" s="19"/>
      <c r="E3" s="19"/>
      <c r="F3" s="19"/>
      <c r="G3" s="19"/>
    </row>
    <row r="4" ht="20.05" customHeight="1">
      <c r="A4" s="19"/>
      <c r="B4" s="19"/>
      <c r="C4" s="19"/>
      <c r="D4" s="19"/>
      <c r="E4" s="19"/>
      <c r="F4" s="19"/>
      <c r="G4" s="19"/>
    </row>
    <row r="5" ht="30.8" customHeight="1">
      <c r="A5" t="s" s="20">
        <v>6</v>
      </c>
      <c r="B5" s="21">
        <v>46054</v>
      </c>
      <c r="C5" s="19"/>
      <c r="D5" t="s" s="20">
        <v>7</v>
      </c>
      <c r="E5" t="s" s="22">
        <v>26</v>
      </c>
      <c r="F5" s="23"/>
      <c r="G5" s="23"/>
    </row>
    <row r="6" ht="20.05" customHeight="1">
      <c r="A6" s="19"/>
      <c r="B6" s="19"/>
      <c r="C6" s="19"/>
      <c r="D6" s="19"/>
      <c r="E6" s="19"/>
      <c r="F6" s="19"/>
      <c r="G6" s="19"/>
    </row>
    <row r="7" ht="26.85" customHeight="1">
      <c r="A7" t="s" s="24">
        <v>27</v>
      </c>
      <c r="B7" s="19"/>
      <c r="C7" t="s" s="24">
        <v>28</v>
      </c>
      <c r="D7" s="19"/>
      <c r="E7" t="s" s="25">
        <v>29</v>
      </c>
      <c r="F7" s="19"/>
      <c r="G7" t="s" s="25">
        <v>30</v>
      </c>
    </row>
    <row r="8" ht="29.8" customHeight="1">
      <c r="A8" s="26" cm="1">
        <f t="array" ref="A8">_xlfn.SUMIFS('Retail Sales Dataset - Retail S'!F2:F50,'Retail Sales Dataset - Retail S'!A2:A50,IF(B5="All Months","&lt;&gt;",B5),'Retail Sales Dataset - Retail S'!B2:B50,IF(E5="All Regions","&lt;&gt;",E5))</f>
        <v>38650</v>
      </c>
      <c r="B8" s="19"/>
      <c r="C8" s="26" cm="1">
        <f t="array" ref="C8">_xlfn.SUMIFS('Retail Sales Dataset - Retail S'!G2:G50,'Retail Sales Dataset - Retail S'!A2:A50,IF(B5="All Months","&lt;&gt;",B5),'Retail Sales Dataset - Retail S'!B2:B50,IF(E5="All Regions","&lt;&gt;",E5))</f>
        <v>5891.8</v>
      </c>
      <c r="D8" s="19"/>
      <c r="E8" s="27" cm="1">
        <f t="array" ref="E8">_xlfn.SUMIFS('Retail Sales Dataset - Retail S'!D2:D50,'Retail Sales Dataset - Retail S'!A2:A50,IF(B5="All Months","&lt;&gt;",B5),'Retail Sales Dataset - Retail S'!B2:B50,IF(E5="All Regions","&lt;&gt;",E5))</f>
        <v>110</v>
      </c>
      <c r="F8" s="19"/>
      <c r="G8" s="28" cm="1">
        <f t="array" ref="G8">_xlfn.IFERROR(C8/A8,0)</f>
        <v>0.152439844760673</v>
      </c>
    </row>
    <row r="9" ht="20.05" customHeight="1">
      <c r="A9" s="19"/>
      <c r="B9" s="19"/>
      <c r="C9" s="19"/>
      <c r="D9" s="19"/>
      <c r="E9" s="19"/>
      <c r="F9" s="19"/>
      <c r="G9" s="19"/>
    </row>
    <row r="10" ht="20.05" customHeight="1">
      <c r="A10" s="19"/>
      <c r="B10" s="19"/>
      <c r="C10" s="19"/>
      <c r="D10" s="19"/>
      <c r="E10" s="19"/>
      <c r="F10" s="19"/>
      <c r="G10" s="19"/>
    </row>
    <row r="11" ht="20.05" customHeight="1">
      <c r="A11" s="19"/>
      <c r="B11" s="19"/>
      <c r="C11" s="19"/>
      <c r="D11" s="19"/>
      <c r="E11" s="19"/>
      <c r="F11" s="19"/>
      <c r="G11" s="19"/>
    </row>
    <row r="12" ht="22.35" customHeight="1">
      <c r="A12" t="s" s="29">
        <v>31</v>
      </c>
      <c r="B12" s="19"/>
      <c r="C12" s="19"/>
      <c r="D12" s="19"/>
      <c r="E12" t="s" s="30">
        <v>32</v>
      </c>
      <c r="F12" s="19"/>
      <c r="G12" s="19"/>
    </row>
    <row r="13" ht="20.05" customHeight="1">
      <c r="A13" t="s" s="31">
        <v>6</v>
      </c>
      <c r="B13" t="s" s="31">
        <v>11</v>
      </c>
      <c r="C13" t="s" s="31">
        <v>33</v>
      </c>
      <c r="D13" s="19"/>
      <c r="E13" t="s" s="31">
        <v>34</v>
      </c>
      <c r="F13" t="s" s="31">
        <v>11</v>
      </c>
      <c r="G13" s="19"/>
    </row>
    <row r="14" ht="20.05" customHeight="1">
      <c r="A14" s="32">
        <v>46023</v>
      </c>
      <c r="B14" s="33" cm="1">
        <f t="array" ref="B14">SUMIF('Retail Sales Dataset - Retail S'!A2:A50,A14,'Retail Sales Dataset - Retail S'!F2:F50)</f>
        <v>42140</v>
      </c>
      <c r="C14" s="19"/>
      <c r="D14" s="19"/>
      <c r="E14" t="s" s="23">
        <v>14</v>
      </c>
      <c r="F14" s="33" cm="1">
        <f t="array" ref="F14">SUMIF('Retail Sales Dataset - Retail S'!B2:B50,E14,'Retail Sales Dataset - Retail S'!F2:F50)</f>
        <v>144070</v>
      </c>
      <c r="G14" s="19"/>
    </row>
    <row r="15" ht="20.05" customHeight="1">
      <c r="A15" s="32">
        <v>46054</v>
      </c>
      <c r="B15" s="33" cm="1">
        <f t="array" ref="B15">SUMIF('Retail Sales Dataset - Retail S'!A2:A50,A15,'Retail Sales Dataset - Retail S'!F2:F50)</f>
        <v>38650</v>
      </c>
      <c r="C15" s="34" cm="1">
        <f t="array" ref="C15">_xlfn.IFERROR((B15-B14)/B14,0)</f>
        <v>-0.0828191741813004</v>
      </c>
      <c r="D15" s="19"/>
      <c r="E15" t="s" s="23">
        <v>16</v>
      </c>
      <c r="F15" s="33" cm="1">
        <f t="array" ref="F15">SUMIF('Retail Sales Dataset - Retail S'!B2:B50,E15,'Retail Sales Dataset - Retail S'!F2:F50)</f>
        <v>146270</v>
      </c>
      <c r="G15" s="19"/>
    </row>
    <row r="16" ht="20.05" customHeight="1">
      <c r="A16" s="32">
        <v>46082</v>
      </c>
      <c r="B16" s="33" cm="1">
        <f t="array" ref="B16">SUMIF('Retail Sales Dataset - Retail S'!A2:A50,A16,'Retail Sales Dataset - Retail S'!F2:F50)</f>
        <v>48480</v>
      </c>
      <c r="C16" s="34" cm="1">
        <f t="array" ref="C16">_xlfn.IFERROR((B16-B15)/B15,0)</f>
        <v>0.254333764553687</v>
      </c>
      <c r="D16" s="19"/>
      <c r="E16" t="s" s="23">
        <v>18</v>
      </c>
      <c r="F16" s="33" cm="1">
        <f t="array" ref="F16">SUMIF('Retail Sales Dataset - Retail S'!B2:B50,E16,'Retail Sales Dataset - Retail S'!F2:F50)</f>
        <v>149870</v>
      </c>
      <c r="G16" s="19"/>
    </row>
    <row r="17" ht="20.05" customHeight="1">
      <c r="A17" s="32">
        <v>46113</v>
      </c>
      <c r="B17" s="33" cm="1">
        <f t="array" ref="B17">SUMIF('Retail Sales Dataset - Retail S'!A2:A50,A17,'Retail Sales Dataset - Retail S'!F2:F50)</f>
        <v>44210</v>
      </c>
      <c r="C17" s="34" cm="1">
        <f t="array" ref="C17">_xlfn.IFERROR((B17-B16)/B16,0)</f>
        <v>-0.0880775577557756</v>
      </c>
      <c r="D17" s="19"/>
      <c r="E17" t="s" s="23">
        <v>20</v>
      </c>
      <c r="F17" s="33" cm="1">
        <f t="array" ref="F17">SUMIF('Retail Sales Dataset - Retail S'!B2:B50,E17,'Retail Sales Dataset - Retail S'!F2:F50)</f>
        <v>156090</v>
      </c>
      <c r="G17" s="19"/>
    </row>
    <row r="18" ht="20.05" customHeight="1">
      <c r="A18" s="32">
        <v>46143</v>
      </c>
      <c r="B18" s="33" cm="1">
        <f t="array" ref="B18">SUMIF('Retail Sales Dataset - Retail S'!A2:A50,A18,'Retail Sales Dataset - Retail S'!F2:F50)</f>
        <v>49920</v>
      </c>
      <c r="C18" s="34" cm="1">
        <f t="array" ref="C18">_xlfn.IFERROR((B18-B17)/B17,0)</f>
        <v>0.129156299479756</v>
      </c>
      <c r="D18" s="19"/>
      <c r="E18" s="19"/>
      <c r="F18" s="19"/>
      <c r="G18" s="19"/>
    </row>
    <row r="19" ht="20.05" customHeight="1">
      <c r="A19" s="32">
        <v>46174</v>
      </c>
      <c r="B19" s="33" cm="1">
        <f t="array" ref="B19">SUMIF('Retail Sales Dataset - Retail S'!A2:A50,A19,'Retail Sales Dataset - Retail S'!F2:F50)</f>
        <v>46450</v>
      </c>
      <c r="C19" s="34" cm="1">
        <f t="array" ref="C19">_xlfn.IFERROR((B19-B18)/B18,0)</f>
        <v>-0.0695112179487179</v>
      </c>
      <c r="D19" s="19"/>
      <c r="E19" s="19"/>
      <c r="F19" s="19"/>
      <c r="G19" s="19"/>
    </row>
    <row r="20" ht="20.05" customHeight="1">
      <c r="A20" s="32">
        <v>46204</v>
      </c>
      <c r="B20" s="33" cm="1">
        <f t="array" ref="B20">SUMIF('Retail Sales Dataset - Retail S'!A2:A50,A20,'Retail Sales Dataset - Retail S'!F2:F50)</f>
        <v>54260</v>
      </c>
      <c r="C20" s="34" cm="1">
        <f t="array" ref="C20">_xlfn.IFERROR((B20-B19)/B19,0)</f>
        <v>0.168137782561895</v>
      </c>
      <c r="D20" s="19"/>
      <c r="E20" s="19"/>
      <c r="F20" s="19"/>
      <c r="G20" s="19"/>
    </row>
    <row r="21" ht="20.05" customHeight="1">
      <c r="A21" s="32">
        <v>46235</v>
      </c>
      <c r="B21" s="33" cm="1">
        <f t="array" ref="B21">SUMIF('Retail Sales Dataset - Retail S'!A2:A50,A21,'Retail Sales Dataset - Retail S'!F2:F50)</f>
        <v>50780</v>
      </c>
      <c r="C21" s="34" cm="1">
        <f t="array" ref="C21">_xlfn.IFERROR((B21-B20)/B20,0)</f>
        <v>-0.0641356431994102</v>
      </c>
      <c r="D21" s="19"/>
      <c r="E21" s="19"/>
      <c r="F21" s="19"/>
      <c r="G21" s="19"/>
    </row>
    <row r="22" ht="20.05" customHeight="1">
      <c r="A22" s="32">
        <v>46266</v>
      </c>
      <c r="B22" s="33" cm="1">
        <f t="array" ref="B22">SUMIF('Retail Sales Dataset - Retail S'!A2:A50,A22,'Retail Sales Dataset - Retail S'!F2:F50)</f>
        <v>55050</v>
      </c>
      <c r="C22" s="34" cm="1">
        <f t="array" ref="C22">_xlfn.IFERROR((B22-B21)/B21,0)</f>
        <v>0.0840882237101221</v>
      </c>
      <c r="D22" s="19"/>
      <c r="E22" s="19"/>
      <c r="F22" s="19"/>
      <c r="G22" s="19"/>
    </row>
    <row r="23" ht="20.05" customHeight="1">
      <c r="A23" s="32">
        <v>46296</v>
      </c>
      <c r="B23" s="33" cm="1">
        <f t="array" ref="B23">SUMIF('Retail Sales Dataset - Retail S'!A2:A50,A23,'Retail Sales Dataset - Retail S'!F2:F50)</f>
        <v>51190</v>
      </c>
      <c r="C23" s="34" cm="1">
        <f t="array" ref="C23">_xlfn.IFERROR((B23-B22)/B22,0)</f>
        <v>-0.0701180744777475</v>
      </c>
      <c r="D23" s="19"/>
      <c r="E23" s="19"/>
      <c r="F23" s="19"/>
      <c r="G23" s="19"/>
    </row>
    <row r="24" ht="20.05" customHeight="1">
      <c r="A24" s="32">
        <v>46327</v>
      </c>
      <c r="B24" s="33" cm="1">
        <f t="array" ref="B24">SUMIF('Retail Sales Dataset - Retail S'!A2:A50,A24,'Retail Sales Dataset - Retail S'!F2:F50)</f>
        <v>58670</v>
      </c>
      <c r="C24" s="34" cm="1">
        <f t="array" ref="C24">_xlfn.IFERROR((B24-B23)/B23,0)</f>
        <v>0.14612228950967</v>
      </c>
      <c r="D24" s="19"/>
      <c r="E24" s="19"/>
      <c r="F24" s="19"/>
      <c r="G24" s="19"/>
    </row>
    <row r="25" ht="20.05" customHeight="1">
      <c r="A25" s="32">
        <v>46357</v>
      </c>
      <c r="B25" s="33" cm="1">
        <f t="array" ref="B25">SUMIF('Retail Sales Dataset - Retail S'!A2:A50,A25,'Retail Sales Dataset - Retail S'!F2:F50)</f>
        <v>56500</v>
      </c>
      <c r="C25" s="34" cm="1">
        <f t="array" ref="C25">_xlfn.IFERROR((B25-B24)/B24,0)</f>
        <v>-0.0369865348559741</v>
      </c>
      <c r="D25" s="19"/>
      <c r="E25" s="19"/>
      <c r="F25" s="19"/>
      <c r="G25" s="19"/>
    </row>
    <row r="26" ht="20.05" customHeight="1">
      <c r="A26" s="19"/>
      <c r="B26" s="19"/>
      <c r="C26" s="34"/>
      <c r="D26" s="19"/>
      <c r="E26" s="19"/>
      <c r="F26" s="19"/>
      <c r="G26" s="19"/>
    </row>
    <row r="27" ht="20.05" customHeight="1">
      <c r="A27" s="19"/>
      <c r="B27" s="19"/>
      <c r="C27" s="34"/>
      <c r="D27" s="19"/>
      <c r="E27" s="19"/>
      <c r="F27" s="19"/>
      <c r="G27" s="19"/>
    </row>
    <row r="28" ht="22.35" customHeight="1">
      <c r="A28" t="s" s="35">
        <v>35</v>
      </c>
      <c r="B28" s="19"/>
      <c r="C28" s="19"/>
      <c r="D28" s="19"/>
      <c r="E28" s="19"/>
      <c r="F28" s="19"/>
      <c r="G28" s="19"/>
    </row>
    <row r="29" ht="22.35" customHeight="1">
      <c r="A29" t="s" s="36">
        <v>8</v>
      </c>
      <c r="B29" t="s" s="31">
        <v>36</v>
      </c>
      <c r="C29" t="s" s="31">
        <v>37</v>
      </c>
      <c r="D29" s="19"/>
      <c r="E29" s="19"/>
      <c r="F29" s="19"/>
      <c r="G29" s="19"/>
    </row>
    <row r="30" ht="22.35" customHeight="1">
      <c r="A30" t="s" s="37">
        <v>15</v>
      </c>
      <c r="B30" s="38" cm="1">
        <f t="array" ref="B30">SUMIF('Retail Sales Dataset - Retail S'!C2:C50,A30,'Retail Sales Dataset - Retail S'!D2:D50)</f>
        <v>252</v>
      </c>
      <c r="C30" s="33" cm="1">
        <f t="array" ref="C30">SUMIF('Retail Sales Dataset - Retail S'!C2:C50,A30,'Retail Sales Dataset - Retail S'!F2:F50)</f>
        <v>181440</v>
      </c>
      <c r="D30" s="19"/>
      <c r="E30" s="19"/>
      <c r="F30" s="19"/>
      <c r="G30" s="19"/>
    </row>
    <row r="31" ht="22.35" customHeight="1">
      <c r="A31" t="s" s="37">
        <v>17</v>
      </c>
      <c r="B31" s="38" cm="1">
        <f t="array" ref="B31">SUMIF('Retail Sales Dataset - Retail S'!C2:C50,A31,'Retail Sales Dataset - Retail S'!D2:D50)</f>
        <v>576</v>
      </c>
      <c r="C31" s="33" cm="1">
        <f t="array" ref="C31">SUMIF('Retail Sales Dataset - Retail S'!C2:C50,A31,'Retail Sales Dataset - Retail S'!F2:F50)</f>
        <v>224640</v>
      </c>
      <c r="D31" s="19"/>
      <c r="E31" s="19"/>
      <c r="F31" s="19"/>
      <c r="G31" s="19"/>
    </row>
    <row r="32" ht="22.35" customHeight="1">
      <c r="A32" t="s" s="37">
        <v>19</v>
      </c>
      <c r="B32" s="38" cm="1">
        <f t="array" ref="B32">SUMIF('Retail Sales Dataset - Retail S'!C2:C50,A32,'Retail Sales Dataset - Retail S'!D2:D50)</f>
        <v>394</v>
      </c>
      <c r="C32" s="33" cm="1">
        <f t="array" ref="C32">SUMIF('Retail Sales Dataset - Retail S'!C2:C50,A32,'Retail Sales Dataset - Retail S'!F2:F50)</f>
        <v>102440</v>
      </c>
      <c r="D32" s="19"/>
      <c r="E32" s="19"/>
      <c r="F32" s="19"/>
      <c r="G32" s="19"/>
    </row>
    <row r="33" ht="22.35" customHeight="1">
      <c r="A33" t="s" s="37">
        <v>21</v>
      </c>
      <c r="B33" s="38" cm="1">
        <f t="array" ref="B33">SUMIF('Retail Sales Dataset - Retail S'!C2:C50,A33,'Retail Sales Dataset - Retail S'!D2:D50)</f>
        <v>418</v>
      </c>
      <c r="C33" s="33" cm="1">
        <f t="array" ref="C33">SUMIF('Retail Sales Dataset - Retail S'!C2:C50,A33,'Retail Sales Dataset - Retail S'!F2:F50)</f>
        <v>87780</v>
      </c>
      <c r="D33" s="19"/>
      <c r="E33" s="19"/>
      <c r="F33" s="19"/>
      <c r="G33" s="19"/>
    </row>
  </sheetData>
  <mergeCells count="5">
    <mergeCell ref="A1:G1"/>
    <mergeCell ref="A12:C12"/>
    <mergeCell ref="E12:G12"/>
    <mergeCell ref="A28:C28"/>
    <mergeCell ref="A2:G3"/>
  </mergeCells>
  <conditionalFormatting sqref="C15:C25">
    <cfRule type="cellIs" dxfId="0" priority="1" operator="greaterThan" stopIfTrue="1">
      <formula>0</formula>
    </cfRule>
    <cfRule type="cellIs" dxfId="1" priority="2" operator="lessThan" stopIfTrue="1">
      <formula>0</formula>
    </cfRule>
  </conditionalFormatting>
  <dataValidations count="2">
    <dataValidation type="list" allowBlank="1" showInputMessage="1" showErrorMessage="1" sqref="B5">
      <formula1>"All Months,January,February,March,April,May,June,July,August,September,October,November,December"</formula1>
    </dataValidation>
    <dataValidation type="list" allowBlank="1" showInputMessage="1" showErrorMessage="1" sqref="E5">
      <formula1>"All Regions,East,West,North,South"</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